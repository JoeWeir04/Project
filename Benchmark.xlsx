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We\Uni\IndProject\Project\"/>
    </mc:Choice>
  </mc:AlternateContent>
  <xr:revisionPtr revIDLastSave="0" documentId="13_ncr:1_{A0F1603B-2EA9-46CC-BD20-897368809B51}" xr6:coauthVersionLast="47" xr6:coauthVersionMax="47" xr10:uidLastSave="{00000000-0000-0000-0000-000000000000}"/>
  <bookViews>
    <workbookView xWindow="-120" yWindow="-120" windowWidth="29040" windowHeight="15840" xr2:uid="{17CD3651-E119-4A47-BAB2-B543A6E02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E27" i="1"/>
  <c r="R27" i="1"/>
  <c r="I27" i="1"/>
  <c r="N27" i="1"/>
  <c r="Q27" i="1"/>
  <c r="M27" i="1"/>
  <c r="H27" i="1"/>
  <c r="D27" i="1"/>
  <c r="Q16" i="1"/>
  <c r="Q17" i="1"/>
  <c r="Q18" i="1"/>
  <c r="Q19" i="1"/>
  <c r="Q20" i="1"/>
  <c r="Q21" i="1"/>
  <c r="Q22" i="1"/>
  <c r="Q23" i="1"/>
  <c r="Q24" i="1"/>
  <c r="Q25" i="1"/>
  <c r="Q26" i="1"/>
  <c r="P16" i="1"/>
  <c r="P17" i="1"/>
  <c r="P18" i="1"/>
  <c r="P19" i="1"/>
  <c r="P20" i="1"/>
  <c r="P21" i="1"/>
  <c r="P22" i="1"/>
  <c r="P23" i="1"/>
  <c r="P24" i="1"/>
  <c r="P25" i="1"/>
  <c r="P26" i="1"/>
  <c r="O16" i="1"/>
  <c r="O17" i="1"/>
  <c r="O18" i="1"/>
  <c r="O19" i="1"/>
  <c r="O20" i="1"/>
  <c r="O21" i="1"/>
  <c r="O22" i="1"/>
  <c r="O23" i="1"/>
  <c r="O24" i="1"/>
  <c r="O25" i="1"/>
  <c r="O26" i="1"/>
  <c r="M16" i="1"/>
  <c r="M17" i="1"/>
  <c r="M18" i="1"/>
  <c r="M19" i="1"/>
  <c r="M20" i="1"/>
  <c r="M21" i="1"/>
  <c r="M22" i="1"/>
  <c r="M23" i="1"/>
  <c r="M24" i="1"/>
  <c r="M25" i="1"/>
  <c r="M26" i="1"/>
  <c r="L16" i="1"/>
  <c r="L17" i="1"/>
  <c r="L18" i="1"/>
  <c r="L19" i="1"/>
  <c r="L20" i="1"/>
  <c r="L21" i="1"/>
  <c r="L22" i="1"/>
  <c r="L23" i="1"/>
  <c r="L24" i="1"/>
  <c r="L25" i="1"/>
  <c r="L26" i="1"/>
  <c r="K16" i="1"/>
  <c r="K17" i="1"/>
  <c r="K18" i="1"/>
  <c r="K19" i="1"/>
  <c r="K20" i="1"/>
  <c r="K21" i="1"/>
  <c r="K22" i="1"/>
  <c r="K23" i="1"/>
  <c r="K24" i="1"/>
  <c r="K25" i="1"/>
  <c r="K26" i="1"/>
  <c r="Q15" i="1"/>
  <c r="P15" i="1"/>
  <c r="O15" i="1"/>
  <c r="M15" i="1"/>
  <c r="L15" i="1"/>
  <c r="K15" i="1"/>
  <c r="H16" i="1"/>
  <c r="H17" i="1"/>
  <c r="H18" i="1"/>
  <c r="H19" i="1"/>
  <c r="H20" i="1"/>
  <c r="H21" i="1"/>
  <c r="H22" i="1"/>
  <c r="H23" i="1"/>
  <c r="H24" i="1"/>
  <c r="H25" i="1"/>
  <c r="H26" i="1"/>
  <c r="G16" i="1"/>
  <c r="G17" i="1"/>
  <c r="G18" i="1"/>
  <c r="G19" i="1"/>
  <c r="G20" i="1"/>
  <c r="G21" i="1"/>
  <c r="G22" i="1"/>
  <c r="G23" i="1"/>
  <c r="G24" i="1"/>
  <c r="G25" i="1"/>
  <c r="G26" i="1"/>
  <c r="F16" i="1"/>
  <c r="F17" i="1"/>
  <c r="F18" i="1"/>
  <c r="F19" i="1"/>
  <c r="F20" i="1"/>
  <c r="F21" i="1"/>
  <c r="F22" i="1"/>
  <c r="F23" i="1"/>
  <c r="F24" i="1"/>
  <c r="F25" i="1"/>
  <c r="F26" i="1"/>
  <c r="H15" i="1"/>
  <c r="G15" i="1"/>
  <c r="F15" i="1"/>
  <c r="B15" i="1"/>
  <c r="D16" i="1"/>
  <c r="D17" i="1"/>
  <c r="D18" i="1"/>
  <c r="D19" i="1"/>
  <c r="D20" i="1"/>
  <c r="D21" i="1"/>
  <c r="D22" i="1"/>
  <c r="D23" i="1"/>
  <c r="D24" i="1"/>
  <c r="D25" i="1"/>
  <c r="D26" i="1"/>
  <c r="D15" i="1"/>
  <c r="C16" i="1"/>
  <c r="C17" i="1"/>
  <c r="C18" i="1"/>
  <c r="C19" i="1"/>
  <c r="C20" i="1"/>
  <c r="C21" i="1"/>
  <c r="C22" i="1"/>
  <c r="C23" i="1"/>
  <c r="C24" i="1"/>
  <c r="C25" i="1"/>
  <c r="C26" i="1"/>
  <c r="C15" i="1"/>
  <c r="B16" i="1"/>
  <c r="B17" i="1"/>
  <c r="B18" i="1"/>
  <c r="B19" i="1"/>
  <c r="B20" i="1"/>
  <c r="B21" i="1"/>
  <c r="B22" i="1"/>
  <c r="B23" i="1"/>
  <c r="B24" i="1"/>
  <c r="B25" i="1"/>
  <c r="B26" i="1"/>
</calcChain>
</file>

<file path=xl/sharedStrings.xml><?xml version="1.0" encoding="utf-8"?>
<sst xmlns="http://schemas.openxmlformats.org/spreadsheetml/2006/main" count="3" uniqueCount="3">
  <si>
    <t>alarm 1</t>
  </si>
  <si>
    <t>speech 1</t>
  </si>
  <si>
    <t>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</si>
</sst>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9574-C475-4B22-826E-7626F624CD40}">
  <dimension ref="A1:R27"/>
  <sheetViews>
    <sheetView tabSelected="1" workbookViewId="0">
      <selection activeCell="C28" sqref="C28"/>
    </sheetView>
  </sheetViews>
  <sheetFormatPr defaultRowHeight="15" x14ac:dyDescent="0.25"/>
  <sheetData>
    <row r="1" spans="1:17" x14ac:dyDescent="0.25">
      <c r="B1" t="s">
        <v>1</v>
      </c>
      <c r="C1">
        <v>2</v>
      </c>
      <c r="D1">
        <v>3</v>
      </c>
      <c r="F1" t="s">
        <v>0</v>
      </c>
      <c r="J1" t="s">
        <v>2</v>
      </c>
      <c r="K1">
        <v>1</v>
      </c>
      <c r="L1">
        <v>2</v>
      </c>
      <c r="M1">
        <v>3</v>
      </c>
    </row>
    <row r="2" spans="1:17" x14ac:dyDescent="0.25">
      <c r="A2">
        <v>0</v>
      </c>
      <c r="B2">
        <v>30</v>
      </c>
      <c r="C2">
        <v>40</v>
      </c>
      <c r="D2">
        <v>60</v>
      </c>
      <c r="F2">
        <v>0</v>
      </c>
      <c r="G2">
        <v>34</v>
      </c>
      <c r="H2">
        <v>36</v>
      </c>
      <c r="K2">
        <v>350</v>
      </c>
      <c r="L2">
        <v>354</v>
      </c>
      <c r="M2">
        <v>350</v>
      </c>
      <c r="O2">
        <v>358</v>
      </c>
      <c r="P2">
        <v>350</v>
      </c>
      <c r="Q2">
        <v>354</v>
      </c>
    </row>
    <row r="3" spans="1:17" x14ac:dyDescent="0.25">
      <c r="A3">
        <v>30</v>
      </c>
      <c r="B3">
        <v>75</v>
      </c>
      <c r="C3">
        <v>84</v>
      </c>
      <c r="D3">
        <v>82</v>
      </c>
      <c r="F3">
        <v>50</v>
      </c>
      <c r="G3">
        <v>44</v>
      </c>
      <c r="H3">
        <v>48</v>
      </c>
      <c r="K3">
        <v>38</v>
      </c>
      <c r="L3">
        <v>24</v>
      </c>
      <c r="M3">
        <v>22</v>
      </c>
      <c r="O3">
        <v>16</v>
      </c>
      <c r="P3">
        <v>22</v>
      </c>
      <c r="Q3">
        <v>18</v>
      </c>
    </row>
    <row r="4" spans="1:17" x14ac:dyDescent="0.25">
      <c r="A4">
        <v>60</v>
      </c>
      <c r="B4">
        <v>90</v>
      </c>
      <c r="C4">
        <v>92</v>
      </c>
      <c r="D4">
        <v>90</v>
      </c>
      <c r="F4">
        <v>88</v>
      </c>
      <c r="G4">
        <v>85</v>
      </c>
      <c r="H4">
        <v>87</v>
      </c>
      <c r="K4">
        <v>73</v>
      </c>
      <c r="L4">
        <v>44</v>
      </c>
      <c r="M4">
        <v>46</v>
      </c>
      <c r="O4">
        <v>66</v>
      </c>
      <c r="P4">
        <v>42</v>
      </c>
      <c r="Q4">
        <v>46</v>
      </c>
    </row>
    <row r="5" spans="1:17" x14ac:dyDescent="0.25">
      <c r="A5">
        <v>90</v>
      </c>
      <c r="B5">
        <v>108</v>
      </c>
      <c r="C5">
        <v>111</v>
      </c>
      <c r="D5">
        <v>120</v>
      </c>
      <c r="F5">
        <v>121</v>
      </c>
      <c r="G5">
        <v>112</v>
      </c>
      <c r="H5">
        <v>110</v>
      </c>
      <c r="K5">
        <v>96</v>
      </c>
      <c r="L5">
        <v>72</v>
      </c>
      <c r="M5">
        <v>76</v>
      </c>
      <c r="O5">
        <v>92</v>
      </c>
      <c r="P5">
        <v>66</v>
      </c>
      <c r="Q5">
        <v>66</v>
      </c>
    </row>
    <row r="6" spans="1:17" x14ac:dyDescent="0.25">
      <c r="A6">
        <v>120</v>
      </c>
      <c r="B6">
        <v>174</v>
      </c>
      <c r="C6">
        <v>124</v>
      </c>
      <c r="D6">
        <v>127</v>
      </c>
      <c r="F6">
        <v>144</v>
      </c>
      <c r="G6">
        <v>146</v>
      </c>
      <c r="H6">
        <v>156</v>
      </c>
      <c r="K6">
        <v>90</v>
      </c>
      <c r="L6">
        <v>95</v>
      </c>
      <c r="M6">
        <v>98</v>
      </c>
      <c r="O6">
        <v>110</v>
      </c>
      <c r="P6">
        <v>106</v>
      </c>
      <c r="Q6">
        <v>98</v>
      </c>
    </row>
    <row r="7" spans="1:17" x14ac:dyDescent="0.25">
      <c r="A7">
        <v>150</v>
      </c>
      <c r="B7">
        <v>185</v>
      </c>
      <c r="C7">
        <v>180</v>
      </c>
      <c r="D7">
        <v>183</v>
      </c>
      <c r="F7">
        <v>184</v>
      </c>
      <c r="G7">
        <v>180</v>
      </c>
      <c r="H7">
        <v>178</v>
      </c>
      <c r="K7">
        <v>124</v>
      </c>
      <c r="L7">
        <v>120</v>
      </c>
      <c r="M7">
        <v>126</v>
      </c>
      <c r="O7">
        <v>118</v>
      </c>
      <c r="P7">
        <v>120</v>
      </c>
      <c r="Q7">
        <v>142</v>
      </c>
    </row>
    <row r="8" spans="1:17" x14ac:dyDescent="0.25">
      <c r="A8">
        <v>180</v>
      </c>
      <c r="B8">
        <v>183</v>
      </c>
      <c r="C8">
        <v>186</v>
      </c>
      <c r="D8">
        <v>190</v>
      </c>
      <c r="F8">
        <v>190</v>
      </c>
      <c r="G8">
        <v>194</v>
      </c>
      <c r="H8">
        <v>192</v>
      </c>
      <c r="K8">
        <v>172</v>
      </c>
      <c r="L8">
        <v>170</v>
      </c>
      <c r="M8">
        <v>172</v>
      </c>
      <c r="O8">
        <v>166</v>
      </c>
      <c r="P8">
        <v>164</v>
      </c>
      <c r="Q8">
        <v>160</v>
      </c>
    </row>
    <row r="9" spans="1:17" x14ac:dyDescent="0.25">
      <c r="A9">
        <v>210</v>
      </c>
      <c r="B9">
        <v>246</v>
      </c>
      <c r="C9">
        <v>255</v>
      </c>
      <c r="D9">
        <v>254</v>
      </c>
      <c r="F9">
        <v>256</v>
      </c>
      <c r="G9">
        <v>245</v>
      </c>
      <c r="H9">
        <v>259</v>
      </c>
      <c r="K9">
        <v>198</v>
      </c>
      <c r="L9">
        <v>200</v>
      </c>
      <c r="M9">
        <v>199</v>
      </c>
      <c r="O9">
        <v>198</v>
      </c>
      <c r="P9">
        <v>196</v>
      </c>
      <c r="Q9">
        <v>182</v>
      </c>
    </row>
    <row r="10" spans="1:17" x14ac:dyDescent="0.25">
      <c r="A10">
        <v>240</v>
      </c>
      <c r="B10">
        <v>276</v>
      </c>
      <c r="C10">
        <v>271</v>
      </c>
      <c r="D10">
        <v>274</v>
      </c>
      <c r="F10">
        <v>240</v>
      </c>
      <c r="G10">
        <v>244</v>
      </c>
      <c r="H10">
        <v>248</v>
      </c>
      <c r="K10">
        <v>222</v>
      </c>
      <c r="L10">
        <v>224</v>
      </c>
      <c r="M10">
        <v>222</v>
      </c>
      <c r="O10">
        <v>200</v>
      </c>
      <c r="P10">
        <v>224</v>
      </c>
      <c r="Q10">
        <v>220</v>
      </c>
    </row>
    <row r="11" spans="1:17" x14ac:dyDescent="0.25">
      <c r="A11">
        <v>270</v>
      </c>
      <c r="B11">
        <v>286</v>
      </c>
      <c r="C11">
        <v>279</v>
      </c>
      <c r="D11">
        <v>271</v>
      </c>
      <c r="F11">
        <v>264</v>
      </c>
      <c r="G11">
        <v>257</v>
      </c>
      <c r="H11">
        <v>270</v>
      </c>
      <c r="K11">
        <v>255</v>
      </c>
      <c r="L11">
        <v>248</v>
      </c>
      <c r="M11">
        <v>250</v>
      </c>
      <c r="O11">
        <v>246</v>
      </c>
      <c r="P11">
        <v>248</v>
      </c>
      <c r="Q11">
        <v>260</v>
      </c>
    </row>
    <row r="12" spans="1:17" x14ac:dyDescent="0.25">
      <c r="A12">
        <v>300</v>
      </c>
      <c r="B12">
        <v>277</v>
      </c>
      <c r="C12">
        <v>345</v>
      </c>
      <c r="D12">
        <v>347</v>
      </c>
      <c r="F12">
        <v>304</v>
      </c>
      <c r="G12">
        <v>318</v>
      </c>
      <c r="H12">
        <v>327</v>
      </c>
      <c r="K12">
        <v>276</v>
      </c>
      <c r="L12">
        <v>278</v>
      </c>
      <c r="M12">
        <v>277</v>
      </c>
      <c r="O12">
        <v>276</v>
      </c>
      <c r="P12">
        <v>286</v>
      </c>
      <c r="Q12">
        <v>270</v>
      </c>
    </row>
    <row r="13" spans="1:17" x14ac:dyDescent="0.25">
      <c r="A13">
        <v>330</v>
      </c>
      <c r="B13">
        <v>0</v>
      </c>
      <c r="C13">
        <v>354</v>
      </c>
      <c r="D13">
        <v>4</v>
      </c>
      <c r="F13">
        <v>348</v>
      </c>
      <c r="G13">
        <v>2</v>
      </c>
      <c r="H13">
        <v>2</v>
      </c>
      <c r="K13">
        <v>314</v>
      </c>
      <c r="L13">
        <v>310</v>
      </c>
      <c r="M13">
        <v>314</v>
      </c>
      <c r="O13">
        <v>308</v>
      </c>
      <c r="P13">
        <v>312</v>
      </c>
      <c r="Q13">
        <v>305</v>
      </c>
    </row>
    <row r="15" spans="1:17" x14ac:dyDescent="0.25">
      <c r="B15">
        <f>MIN(ABS(B2-A2), 360-ABS(B2-A2))</f>
        <v>30</v>
      </c>
      <c r="C15">
        <f>MIN(ABS(C2-A2), 360-ABS(C2-A2))</f>
        <v>40</v>
      </c>
      <c r="D15">
        <f>MIN(ABS(D2-A2), 360-ABS(D2-A2))</f>
        <v>60</v>
      </c>
      <c r="F15">
        <f>MIN(ABS(F2-A2), 360-ABS(F2-A2))</f>
        <v>0</v>
      </c>
      <c r="G15">
        <f>MIN(ABS(G2-A2), 360-ABS(G2-A2))</f>
        <v>34</v>
      </c>
      <c r="H15">
        <f>MIN(ABS(H2-A2), 360-ABS(H2-A2))</f>
        <v>36</v>
      </c>
      <c r="K15">
        <f>MIN(ABS(K2-A2), 360-ABS(K2-A2))</f>
        <v>10</v>
      </c>
      <c r="L15">
        <f>MIN(ABS(L2-A2), 360-ABS(L2-A2))</f>
        <v>6</v>
      </c>
      <c r="M15">
        <f>MIN(ABS(M2-A2), 360-ABS(M2-A2))</f>
        <v>10</v>
      </c>
      <c r="O15">
        <f>MIN(ABS(O2-A2), 360-ABS(O2-A2))</f>
        <v>2</v>
      </c>
      <c r="P15">
        <f>MIN(ABS(P2-A2), 360-ABS(P2-A2))</f>
        <v>10</v>
      </c>
      <c r="Q15">
        <f>MIN(ABS(Q2-A2), 360-ABS(Q2-A2))</f>
        <v>6</v>
      </c>
    </row>
    <row r="16" spans="1:17" x14ac:dyDescent="0.25">
      <c r="B16">
        <f t="shared" ref="B16:B26" si="0">MIN(ABS(B3-A3), 360-ABS(B3-A3))</f>
        <v>45</v>
      </c>
      <c r="C16">
        <f t="shared" ref="C16:C26" si="1">MIN(ABS(C3-A3), 360-ABS(C3-A3))</f>
        <v>54</v>
      </c>
      <c r="D16">
        <f t="shared" ref="D16:D26" si="2">MIN(ABS(D3-A3), 360-ABS(D3-A3))</f>
        <v>52</v>
      </c>
      <c r="F16">
        <f t="shared" ref="F16:F26" si="3">MIN(ABS(F3-A3), 360-ABS(F3-A3))</f>
        <v>20</v>
      </c>
      <c r="G16">
        <f t="shared" ref="G16:G26" si="4">MIN(ABS(G3-A3), 360-ABS(G3-A3))</f>
        <v>14</v>
      </c>
      <c r="H16">
        <f t="shared" ref="H16:H26" si="5">MIN(ABS(H3-A3), 360-ABS(H3-A3))</f>
        <v>18</v>
      </c>
      <c r="K16">
        <f t="shared" ref="K16:K26" si="6">MIN(ABS(K3-A3), 360-ABS(K3-A3))</f>
        <v>8</v>
      </c>
      <c r="L16">
        <f t="shared" ref="L16:L26" si="7">MIN(ABS(L3-A3), 360-ABS(L3-A3))</f>
        <v>6</v>
      </c>
      <c r="M16">
        <f t="shared" ref="M16:M26" si="8">MIN(ABS(M3-A3), 360-ABS(M3-A3))</f>
        <v>8</v>
      </c>
      <c r="O16">
        <f t="shared" ref="O16:O26" si="9">MIN(ABS(O3-A3), 360-ABS(O3-A3))</f>
        <v>14</v>
      </c>
      <c r="P16">
        <f t="shared" ref="P16:P26" si="10">MIN(ABS(P3-A3), 360-ABS(P3-A3))</f>
        <v>8</v>
      </c>
      <c r="Q16">
        <f t="shared" ref="Q16:Q26" si="11">MIN(ABS(Q3-A3), 360-ABS(Q3-A3))</f>
        <v>12</v>
      </c>
    </row>
    <row r="17" spans="2:18" x14ac:dyDescent="0.25">
      <c r="B17">
        <f t="shared" si="0"/>
        <v>30</v>
      </c>
      <c r="C17">
        <f t="shared" si="1"/>
        <v>32</v>
      </c>
      <c r="D17">
        <f t="shared" si="2"/>
        <v>30</v>
      </c>
      <c r="F17">
        <f t="shared" si="3"/>
        <v>28</v>
      </c>
      <c r="G17">
        <f t="shared" si="4"/>
        <v>25</v>
      </c>
      <c r="H17">
        <f t="shared" si="5"/>
        <v>27</v>
      </c>
      <c r="K17">
        <f t="shared" si="6"/>
        <v>13</v>
      </c>
      <c r="L17">
        <f t="shared" si="7"/>
        <v>16</v>
      </c>
      <c r="M17">
        <f t="shared" si="8"/>
        <v>14</v>
      </c>
      <c r="O17">
        <f t="shared" si="9"/>
        <v>6</v>
      </c>
      <c r="P17">
        <f t="shared" si="10"/>
        <v>18</v>
      </c>
      <c r="Q17">
        <f t="shared" si="11"/>
        <v>14</v>
      </c>
    </row>
    <row r="18" spans="2:18" x14ac:dyDescent="0.25">
      <c r="B18">
        <f t="shared" si="0"/>
        <v>18</v>
      </c>
      <c r="C18">
        <f t="shared" si="1"/>
        <v>21</v>
      </c>
      <c r="D18">
        <f t="shared" si="2"/>
        <v>30</v>
      </c>
      <c r="F18">
        <f t="shared" si="3"/>
        <v>31</v>
      </c>
      <c r="G18">
        <f t="shared" si="4"/>
        <v>22</v>
      </c>
      <c r="H18">
        <f t="shared" si="5"/>
        <v>20</v>
      </c>
      <c r="K18">
        <f t="shared" si="6"/>
        <v>6</v>
      </c>
      <c r="L18">
        <f t="shared" si="7"/>
        <v>18</v>
      </c>
      <c r="M18">
        <f t="shared" si="8"/>
        <v>14</v>
      </c>
      <c r="O18">
        <f t="shared" si="9"/>
        <v>2</v>
      </c>
      <c r="P18">
        <f t="shared" si="10"/>
        <v>24</v>
      </c>
      <c r="Q18">
        <f t="shared" si="11"/>
        <v>24</v>
      </c>
    </row>
    <row r="19" spans="2:18" x14ac:dyDescent="0.25">
      <c r="B19">
        <f t="shared" si="0"/>
        <v>54</v>
      </c>
      <c r="C19">
        <f t="shared" si="1"/>
        <v>4</v>
      </c>
      <c r="D19">
        <f t="shared" si="2"/>
        <v>7</v>
      </c>
      <c r="F19">
        <f t="shared" si="3"/>
        <v>24</v>
      </c>
      <c r="G19">
        <f t="shared" si="4"/>
        <v>26</v>
      </c>
      <c r="H19">
        <f t="shared" si="5"/>
        <v>36</v>
      </c>
      <c r="K19">
        <f t="shared" si="6"/>
        <v>30</v>
      </c>
      <c r="L19">
        <f t="shared" si="7"/>
        <v>25</v>
      </c>
      <c r="M19">
        <f t="shared" si="8"/>
        <v>22</v>
      </c>
      <c r="O19">
        <f t="shared" si="9"/>
        <v>10</v>
      </c>
      <c r="P19">
        <f t="shared" si="10"/>
        <v>14</v>
      </c>
      <c r="Q19">
        <f t="shared" si="11"/>
        <v>22</v>
      </c>
    </row>
    <row r="20" spans="2:18" x14ac:dyDescent="0.25">
      <c r="B20">
        <f t="shared" si="0"/>
        <v>35</v>
      </c>
      <c r="C20">
        <f t="shared" si="1"/>
        <v>30</v>
      </c>
      <c r="D20">
        <f t="shared" si="2"/>
        <v>33</v>
      </c>
      <c r="F20">
        <f t="shared" si="3"/>
        <v>34</v>
      </c>
      <c r="G20">
        <f t="shared" si="4"/>
        <v>30</v>
      </c>
      <c r="H20">
        <f t="shared" si="5"/>
        <v>28</v>
      </c>
      <c r="K20">
        <f t="shared" si="6"/>
        <v>26</v>
      </c>
      <c r="L20">
        <f t="shared" si="7"/>
        <v>30</v>
      </c>
      <c r="M20">
        <f t="shared" si="8"/>
        <v>24</v>
      </c>
      <c r="O20">
        <f t="shared" si="9"/>
        <v>32</v>
      </c>
      <c r="P20">
        <f t="shared" si="10"/>
        <v>30</v>
      </c>
      <c r="Q20">
        <f t="shared" si="11"/>
        <v>8</v>
      </c>
    </row>
    <row r="21" spans="2:18" x14ac:dyDescent="0.25">
      <c r="B21">
        <f t="shared" si="0"/>
        <v>3</v>
      </c>
      <c r="C21">
        <f t="shared" si="1"/>
        <v>6</v>
      </c>
      <c r="D21">
        <f t="shared" si="2"/>
        <v>10</v>
      </c>
      <c r="F21">
        <f t="shared" si="3"/>
        <v>10</v>
      </c>
      <c r="G21">
        <f t="shared" si="4"/>
        <v>14</v>
      </c>
      <c r="H21">
        <f t="shared" si="5"/>
        <v>12</v>
      </c>
      <c r="K21">
        <f t="shared" si="6"/>
        <v>8</v>
      </c>
      <c r="L21">
        <f t="shared" si="7"/>
        <v>10</v>
      </c>
      <c r="M21">
        <f t="shared" si="8"/>
        <v>8</v>
      </c>
      <c r="O21">
        <f t="shared" si="9"/>
        <v>14</v>
      </c>
      <c r="P21">
        <f t="shared" si="10"/>
        <v>16</v>
      </c>
      <c r="Q21">
        <f t="shared" si="11"/>
        <v>20</v>
      </c>
    </row>
    <row r="22" spans="2:18" x14ac:dyDescent="0.25">
      <c r="B22">
        <f t="shared" si="0"/>
        <v>36</v>
      </c>
      <c r="C22">
        <f t="shared" si="1"/>
        <v>45</v>
      </c>
      <c r="D22">
        <f t="shared" si="2"/>
        <v>44</v>
      </c>
      <c r="F22">
        <f t="shared" si="3"/>
        <v>46</v>
      </c>
      <c r="G22">
        <f t="shared" si="4"/>
        <v>35</v>
      </c>
      <c r="H22">
        <f t="shared" si="5"/>
        <v>49</v>
      </c>
      <c r="K22">
        <f t="shared" si="6"/>
        <v>12</v>
      </c>
      <c r="L22">
        <f t="shared" si="7"/>
        <v>10</v>
      </c>
      <c r="M22">
        <f t="shared" si="8"/>
        <v>11</v>
      </c>
      <c r="O22">
        <f t="shared" si="9"/>
        <v>12</v>
      </c>
      <c r="P22">
        <f t="shared" si="10"/>
        <v>14</v>
      </c>
      <c r="Q22">
        <f t="shared" si="11"/>
        <v>28</v>
      </c>
    </row>
    <row r="23" spans="2:18" x14ac:dyDescent="0.25">
      <c r="B23">
        <f t="shared" si="0"/>
        <v>36</v>
      </c>
      <c r="C23">
        <f t="shared" si="1"/>
        <v>31</v>
      </c>
      <c r="D23">
        <f t="shared" si="2"/>
        <v>34</v>
      </c>
      <c r="F23">
        <f t="shared" si="3"/>
        <v>0</v>
      </c>
      <c r="G23">
        <f t="shared" si="4"/>
        <v>4</v>
      </c>
      <c r="H23">
        <f t="shared" si="5"/>
        <v>8</v>
      </c>
      <c r="K23">
        <f t="shared" si="6"/>
        <v>18</v>
      </c>
      <c r="L23">
        <f t="shared" si="7"/>
        <v>16</v>
      </c>
      <c r="M23">
        <f t="shared" si="8"/>
        <v>18</v>
      </c>
      <c r="O23">
        <f t="shared" si="9"/>
        <v>40</v>
      </c>
      <c r="P23">
        <f t="shared" si="10"/>
        <v>16</v>
      </c>
      <c r="Q23">
        <f t="shared" si="11"/>
        <v>20</v>
      </c>
    </row>
    <row r="24" spans="2:18" x14ac:dyDescent="0.25">
      <c r="B24">
        <f t="shared" si="0"/>
        <v>16</v>
      </c>
      <c r="C24">
        <f t="shared" si="1"/>
        <v>9</v>
      </c>
      <c r="D24">
        <f t="shared" si="2"/>
        <v>1</v>
      </c>
      <c r="F24">
        <f t="shared" si="3"/>
        <v>6</v>
      </c>
      <c r="G24">
        <f t="shared" si="4"/>
        <v>13</v>
      </c>
      <c r="H24">
        <f t="shared" si="5"/>
        <v>0</v>
      </c>
      <c r="K24">
        <f t="shared" si="6"/>
        <v>15</v>
      </c>
      <c r="L24">
        <f t="shared" si="7"/>
        <v>22</v>
      </c>
      <c r="M24">
        <f t="shared" si="8"/>
        <v>20</v>
      </c>
      <c r="O24">
        <f t="shared" si="9"/>
        <v>24</v>
      </c>
      <c r="P24">
        <f t="shared" si="10"/>
        <v>22</v>
      </c>
      <c r="Q24">
        <f t="shared" si="11"/>
        <v>10</v>
      </c>
    </row>
    <row r="25" spans="2:18" x14ac:dyDescent="0.25">
      <c r="B25">
        <f t="shared" si="0"/>
        <v>23</v>
      </c>
      <c r="C25">
        <f t="shared" si="1"/>
        <v>45</v>
      </c>
      <c r="D25">
        <f t="shared" si="2"/>
        <v>47</v>
      </c>
      <c r="F25">
        <f t="shared" si="3"/>
        <v>4</v>
      </c>
      <c r="G25">
        <f t="shared" si="4"/>
        <v>18</v>
      </c>
      <c r="H25">
        <f t="shared" si="5"/>
        <v>27</v>
      </c>
      <c r="K25">
        <f t="shared" si="6"/>
        <v>24</v>
      </c>
      <c r="L25">
        <f t="shared" si="7"/>
        <v>22</v>
      </c>
      <c r="M25">
        <f t="shared" si="8"/>
        <v>23</v>
      </c>
      <c r="O25">
        <f t="shared" si="9"/>
        <v>24</v>
      </c>
      <c r="P25">
        <f t="shared" si="10"/>
        <v>14</v>
      </c>
      <c r="Q25">
        <f t="shared" si="11"/>
        <v>30</v>
      </c>
    </row>
    <row r="26" spans="2:18" x14ac:dyDescent="0.25">
      <c r="B26">
        <f t="shared" si="0"/>
        <v>30</v>
      </c>
      <c r="C26">
        <f t="shared" si="1"/>
        <v>24</v>
      </c>
      <c r="D26">
        <f t="shared" si="2"/>
        <v>34</v>
      </c>
      <c r="F26">
        <f t="shared" si="3"/>
        <v>18</v>
      </c>
      <c r="G26">
        <f t="shared" si="4"/>
        <v>32</v>
      </c>
      <c r="H26">
        <f t="shared" si="5"/>
        <v>32</v>
      </c>
      <c r="K26">
        <f t="shared" si="6"/>
        <v>16</v>
      </c>
      <c r="L26">
        <f t="shared" si="7"/>
        <v>20</v>
      </c>
      <c r="M26">
        <f t="shared" si="8"/>
        <v>16</v>
      </c>
      <c r="O26">
        <f t="shared" si="9"/>
        <v>22</v>
      </c>
      <c r="P26">
        <f t="shared" si="10"/>
        <v>18</v>
      </c>
      <c r="Q26">
        <f t="shared" si="11"/>
        <v>25</v>
      </c>
    </row>
    <row r="27" spans="2:18" x14ac:dyDescent="0.25">
      <c r="C27">
        <f>MAX(B15:D26)</f>
        <v>60</v>
      </c>
      <c r="D27">
        <f>AVERAGE(B15:D26)</f>
        <v>29.972222222222221</v>
      </c>
      <c r="E27">
        <f>_xlfn.STDEV.S(B15:D26)</f>
        <v>15.708934875434265</v>
      </c>
      <c r="H27">
        <f>AVERAGE(F15:H26)</f>
        <v>21.694444444444443</v>
      </c>
      <c r="I27">
        <f>_xlfn.STDEV.S(F15:H26)</f>
        <v>12.770097760996071</v>
      </c>
      <c r="M27">
        <f>AVERAGE(K15:M26)</f>
        <v>15.972222222222221</v>
      </c>
      <c r="N27">
        <f>_xlfn.STDEV.S(K15:M26)</f>
        <v>6.8888568867664262</v>
      </c>
      <c r="Q27">
        <f>AVERAGE(O15:Q26)</f>
        <v>17.361111111111111</v>
      </c>
      <c r="R27">
        <f>_xlfn.STDEV.S(O15:Q26)</f>
        <v>8.7346691090415334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Weir (student)</dc:creator>
  <cp:lastModifiedBy>Joe Weir (student)</cp:lastModifiedBy>
  <dcterms:created xsi:type="dcterms:W3CDTF">2026-01-22T10:51:38Z</dcterms:created>
  <dcterms:modified xsi:type="dcterms:W3CDTF">2026-01-25T13:29:27Z</dcterms:modified>
</cp:coreProperties>
</file>